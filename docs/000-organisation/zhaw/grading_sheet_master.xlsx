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er\AppData\Local\Microsoft\Windows\INetCache\Content.Outlook\EBGLUOZN\"/>
    </mc:Choice>
  </mc:AlternateContent>
  <xr:revisionPtr revIDLastSave="0" documentId="13_ncr:1_{C2EA8E57-D5D0-4B0C-88C9-847BE23187AB}" xr6:coauthVersionLast="47" xr6:coauthVersionMax="47" xr10:uidLastSave="{00000000-0000-0000-0000-000000000000}"/>
  <bookViews>
    <workbookView xWindow="14544" yWindow="768" windowWidth="17184" windowHeight="14748" xr2:uid="{9D3217E1-6F03-4578-A071-F66D9152891D}"/>
  </bookViews>
  <sheets>
    <sheet name="module_grade_calculation_chart_" sheetId="1" r:id="rId1"/>
  </sheets>
  <definedNames>
    <definedName name="_xlnm.Print_Area" localSheetId="0">module_grade_calculation_chart_!$A$1:$N$31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3" i="1"/>
  <c r="V21" i="1"/>
  <c r="U21" i="1"/>
  <c r="T21" i="1"/>
  <c r="S21" i="1"/>
  <c r="R21" i="1"/>
  <c r="Q21" i="1"/>
  <c r="W21" i="1" s="1"/>
  <c r="V22" i="1"/>
  <c r="U22" i="1"/>
  <c r="T22" i="1"/>
  <c r="S22" i="1"/>
  <c r="R22" i="1"/>
  <c r="Q22" i="1"/>
  <c r="V20" i="1"/>
  <c r="U20" i="1"/>
  <c r="T20" i="1"/>
  <c r="S20" i="1"/>
  <c r="R20" i="1"/>
  <c r="Q20" i="1"/>
  <c r="V19" i="1"/>
  <c r="U19" i="1"/>
  <c r="T19" i="1"/>
  <c r="S19" i="1"/>
  <c r="R19" i="1"/>
  <c r="Q19" i="1"/>
  <c r="V18" i="1"/>
  <c r="U18" i="1"/>
  <c r="T18" i="1"/>
  <c r="S18" i="1"/>
  <c r="R18" i="1"/>
  <c r="Q18" i="1"/>
  <c r="W22" i="1" l="1"/>
  <c r="W18" i="1"/>
  <c r="W19" i="1"/>
  <c r="W20" i="1"/>
  <c r="W23" i="1" l="1"/>
  <c r="H23" i="1" s="1"/>
  <c r="Q27" i="1"/>
  <c r="R27" i="1"/>
  <c r="S27" i="1"/>
  <c r="T27" i="1"/>
  <c r="U27" i="1"/>
  <c r="V27" i="1"/>
  <c r="Q28" i="1"/>
  <c r="R28" i="1"/>
  <c r="S28" i="1"/>
  <c r="T28" i="1"/>
  <c r="U28" i="1"/>
  <c r="V28" i="1"/>
  <c r="Q29" i="1"/>
  <c r="R29" i="1"/>
  <c r="S29" i="1"/>
  <c r="T29" i="1"/>
  <c r="U29" i="1"/>
  <c r="V29" i="1"/>
  <c r="V26" i="1"/>
  <c r="U26" i="1"/>
  <c r="T26" i="1"/>
  <c r="S26" i="1"/>
  <c r="R26" i="1"/>
  <c r="Q26" i="1"/>
  <c r="D15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V9" i="1"/>
  <c r="U9" i="1"/>
  <c r="T9" i="1"/>
  <c r="S9" i="1"/>
  <c r="R9" i="1"/>
  <c r="Q9" i="1"/>
  <c r="W9" i="1" l="1"/>
  <c r="W29" i="1"/>
  <c r="W28" i="1"/>
  <c r="W14" i="1"/>
  <c r="W12" i="1"/>
  <c r="W27" i="1"/>
  <c r="W26" i="1"/>
  <c r="W11" i="1"/>
  <c r="W10" i="1"/>
  <c r="W13" i="1"/>
  <c r="W30" i="1" l="1"/>
  <c r="H30" i="1" s="1"/>
  <c r="W15" i="1"/>
  <c r="H15" i="1" s="1"/>
  <c r="G3" i="1" s="1"/>
</calcChain>
</file>

<file path=xl/sharedStrings.xml><?xml version="1.0" encoding="utf-8"?>
<sst xmlns="http://schemas.openxmlformats.org/spreadsheetml/2006/main" count="52" uniqueCount="34">
  <si>
    <t>Project:</t>
  </si>
  <si>
    <t>Student</t>
  </si>
  <si>
    <t xml:space="preserve">* This note is for informational purposes. 
Legally, the notes in Evento are valid. </t>
  </si>
  <si>
    <t>Assessment criteria and indicators**</t>
  </si>
  <si>
    <t>a</t>
  </si>
  <si>
    <t>b</t>
  </si>
  <si>
    <t>c</t>
  </si>
  <si>
    <t>d</t>
  </si>
  <si>
    <t>Remarks</t>
  </si>
  <si>
    <t>Interim grade</t>
  </si>
  <si>
    <t>Gesamtpunkte</t>
  </si>
  <si>
    <t>Content and structure follow a common thread. 
The sequence of the contents is coherent.</t>
  </si>
  <si>
    <t>Images are designed with simplicity. The texts are not overloaded. The layout is coherent. The quality is very good.</t>
  </si>
  <si>
    <t>e</t>
  </si>
  <si>
    <t>f</t>
  </si>
  <si>
    <t>Rating of report and presentation</t>
  </si>
  <si>
    <t>Project progress, performance, work behaviour (25 to 33%)</t>
  </si>
  <si>
    <t>Engineering approach, methodology, project and time management</t>
  </si>
  <si>
    <t>Initial phase: problem analysis, research, investigation of possible solutions</t>
  </si>
  <si>
    <t>Working method final phase: dealing with difficulties, testing variants</t>
  </si>
  <si>
    <t>Communication with supervisor / industry partner, exchange of information, independence</t>
  </si>
  <si>
    <t>Commitment: initiative, dedication, work performance</t>
  </si>
  <si>
    <t xml:space="preserve">Organisation </t>
  </si>
  <si>
    <t>x</t>
  </si>
  <si>
    <t>Level of work</t>
  </si>
  <si>
    <t>Quality and completeness of the results -&gt; agreed targets achieved or exceeded</t>
  </si>
  <si>
    <t>Quality and completeness of the results -&gt; significant added value of the solution achieved</t>
  </si>
  <si>
    <t>Comprehensible concept, sensible use of methods, quality of tests</t>
  </si>
  <si>
    <t>Originality, inventiveness, creativity</t>
  </si>
  <si>
    <t xml:space="preserve">Results critically discussed. Questions are followed by correct, speedy, comprehensible answers. </t>
  </si>
  <si>
    <t>Scientificity (structure, references, well-founded)</t>
  </si>
  <si>
    <t>Poster/Presentation  (25 to 33%)</t>
  </si>
  <si>
    <t>* a = excellent / b = majority met / c = fully met / d = not enough met / e = not good / f = not at all</t>
  </si>
  <si>
    <t>Quality of the results (25 to 33%)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</si>
</sst>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6"/>
      <color theme="4" tint="-0.249977111117893"/>
      <name val="Arial"/>
      <family val="2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9" fontId="5" fillId="2" borderId="14" xfId="2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left" vertical="center" wrapText="1"/>
    </xf>
    <xf numFmtId="0" fontId="5" fillId="3" borderId="0" xfId="1" applyFont="1" applyFill="1" applyAlignment="1">
      <alignment vertical="center" wrapText="1"/>
    </xf>
    <xf numFmtId="0" fontId="4" fillId="2" borderId="12" xfId="1" applyFont="1" applyFill="1" applyBorder="1" applyAlignment="1">
      <alignment vertical="center"/>
    </xf>
    <xf numFmtId="9" fontId="4" fillId="2" borderId="12" xfId="1" applyNumberFormat="1" applyFont="1" applyFill="1" applyBorder="1" applyAlignment="1">
      <alignment vertical="center"/>
    </xf>
    <xf numFmtId="0" fontId="4" fillId="2" borderId="18" xfId="1" applyFont="1" applyFill="1" applyBorder="1" applyAlignment="1">
      <alignment horizontal="left" vertical="center"/>
    </xf>
    <xf numFmtId="0" fontId="4" fillId="3" borderId="0" xfId="1" applyFont="1" applyFill="1" applyAlignment="1">
      <alignment vertical="center"/>
    </xf>
    <xf numFmtId="0" fontId="3" fillId="2" borderId="0" xfId="1" applyFont="1" applyFill="1" applyAlignment="1">
      <alignment vertical="center" wrapText="1"/>
    </xf>
    <xf numFmtId="9" fontId="5" fillId="2" borderId="3" xfId="2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2" fontId="3" fillId="3" borderId="0" xfId="1" applyNumberFormat="1" applyFont="1" applyFill="1" applyAlignment="1">
      <alignment vertical="center" wrapText="1"/>
    </xf>
    <xf numFmtId="9" fontId="2" fillId="3" borderId="0" xfId="2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9" fontId="4" fillId="2" borderId="12" xfId="1" applyNumberFormat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left" vertical="center"/>
    </xf>
    <xf numFmtId="0" fontId="7" fillId="3" borderId="0" xfId="1" applyFont="1" applyFill="1" applyAlignment="1">
      <alignment vertical="center"/>
    </xf>
    <xf numFmtId="0" fontId="5" fillId="2" borderId="19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2" borderId="0" xfId="1" applyFont="1" applyFill="1" applyAlignment="1">
      <alignment vertical="center"/>
    </xf>
    <xf numFmtId="9" fontId="5" fillId="2" borderId="9" xfId="2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left" vertical="center" wrapText="1"/>
    </xf>
    <xf numFmtId="0" fontId="9" fillId="2" borderId="24" xfId="1" applyFont="1" applyFill="1" applyBorder="1" applyAlignment="1">
      <alignment horizontal="left" vertical="center" wrapText="1"/>
    </xf>
    <xf numFmtId="0" fontId="4" fillId="2" borderId="25" xfId="1" applyFont="1" applyFill="1" applyBorder="1" applyAlignment="1">
      <alignment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" vertical="center" wrapText="1"/>
    </xf>
    <xf numFmtId="9" fontId="10" fillId="2" borderId="0" xfId="1" applyNumberFormat="1" applyFont="1" applyFill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9" fontId="7" fillId="2" borderId="0" xfId="2" applyFont="1" applyFill="1" applyBorder="1" applyAlignment="1">
      <alignment horizontal="right" vertical="center"/>
    </xf>
    <xf numFmtId="2" fontId="3" fillId="2" borderId="0" xfId="1" applyNumberFormat="1" applyFont="1" applyFill="1" applyAlignment="1">
      <alignment horizontal="center" vertical="center" wrapText="1"/>
    </xf>
    <xf numFmtId="9" fontId="5" fillId="2" borderId="28" xfId="2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 wrapText="1"/>
    </xf>
    <xf numFmtId="9" fontId="5" fillId="2" borderId="6" xfId="2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left" vertical="center" wrapText="1"/>
    </xf>
    <xf numFmtId="9" fontId="11" fillId="2" borderId="0" xfId="1" applyNumberFormat="1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 vertical="center"/>
    </xf>
    <xf numFmtId="2" fontId="4" fillId="2" borderId="6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 vertical="center"/>
    </xf>
    <xf numFmtId="0" fontId="5" fillId="2" borderId="7" xfId="1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5" fillId="2" borderId="29" xfId="1" applyFont="1" applyFill="1" applyBorder="1" applyAlignment="1">
      <alignment horizontal="left" vertical="center" wrapText="1"/>
    </xf>
    <xf numFmtId="0" fontId="5" fillId="2" borderId="30" xfId="1" applyFont="1" applyFill="1" applyBorder="1" applyAlignment="1">
      <alignment horizontal="left" vertical="center" wrapText="1"/>
    </xf>
    <xf numFmtId="0" fontId="5" fillId="2" borderId="31" xfId="1" applyFont="1" applyFill="1" applyBorder="1" applyAlignment="1">
      <alignment horizontal="left" vertical="center" wrapText="1"/>
    </xf>
    <xf numFmtId="0" fontId="8" fillId="2" borderId="33" xfId="1" applyFont="1" applyFill="1" applyBorder="1" applyAlignment="1">
      <alignment horizontal="left" vertical="center" wrapText="1"/>
    </xf>
    <xf numFmtId="0" fontId="8" fillId="2" borderId="34" xfId="1" applyFont="1" applyFill="1" applyBorder="1" applyAlignment="1">
      <alignment horizontal="left" vertical="center" wrapText="1"/>
    </xf>
    <xf numFmtId="0" fontId="8" fillId="2" borderId="35" xfId="1" applyFont="1" applyFill="1" applyBorder="1" applyAlignment="1">
      <alignment horizontal="left" vertical="center" wrapText="1"/>
    </xf>
    <xf numFmtId="9" fontId="7" fillId="2" borderId="11" xfId="2" applyFont="1" applyFill="1" applyBorder="1" applyAlignment="1">
      <alignment horizontal="right" vertical="center"/>
    </xf>
    <xf numFmtId="9" fontId="7" fillId="2" borderId="12" xfId="2" applyFont="1" applyFill="1" applyBorder="1" applyAlignment="1">
      <alignment horizontal="right" vertical="center"/>
    </xf>
    <xf numFmtId="9" fontId="7" fillId="2" borderId="18" xfId="2" applyFont="1" applyFill="1" applyBorder="1" applyAlignment="1">
      <alignment horizontal="right" vertical="center"/>
    </xf>
    <xf numFmtId="2" fontId="3" fillId="2" borderId="11" xfId="1" applyNumberFormat="1" applyFont="1" applyFill="1" applyBorder="1" applyAlignment="1">
      <alignment horizontal="center" vertical="center" wrapText="1"/>
    </xf>
    <xf numFmtId="2" fontId="3" fillId="2" borderId="12" xfId="1" applyNumberFormat="1" applyFont="1" applyFill="1" applyBorder="1" applyAlignment="1">
      <alignment horizontal="center" vertical="center" wrapText="1"/>
    </xf>
    <xf numFmtId="2" fontId="3" fillId="2" borderId="18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left" vertical="center"/>
    </xf>
    <xf numFmtId="0" fontId="4" fillId="2" borderId="12" xfId="1" applyFont="1" applyFill="1" applyBorder="1" applyAlignment="1">
      <alignment horizontal="left" vertical="center"/>
    </xf>
    <xf numFmtId="0" fontId="8" fillId="2" borderId="29" xfId="1" applyFont="1" applyFill="1" applyBorder="1" applyAlignment="1">
      <alignment horizontal="left" vertical="center" wrapText="1"/>
    </xf>
    <xf numFmtId="0" fontId="8" fillId="2" borderId="30" xfId="1" applyFont="1" applyFill="1" applyBorder="1" applyAlignment="1">
      <alignment horizontal="left" vertical="center" wrapText="1"/>
    </xf>
    <xf numFmtId="0" fontId="8" fillId="2" borderId="31" xfId="1" applyFont="1" applyFill="1" applyBorder="1" applyAlignment="1">
      <alignment horizontal="left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5" fillId="2" borderId="12" xfId="1" applyFont="1" applyFill="1" applyBorder="1" applyAlignment="1">
      <alignment horizontal="left" vertical="center" wrapText="1"/>
    </xf>
    <xf numFmtId="0" fontId="5" fillId="2" borderId="13" xfId="1" applyFont="1" applyFill="1" applyBorder="1" applyAlignment="1">
      <alignment horizontal="left" vertical="center" wrapText="1"/>
    </xf>
    <xf numFmtId="0" fontId="6" fillId="2" borderId="22" xfId="1" applyFont="1" applyFill="1" applyBorder="1" applyAlignment="1">
      <alignment horizontal="right" vertical="top"/>
    </xf>
    <xf numFmtId="0" fontId="3" fillId="2" borderId="22" xfId="1" applyFont="1" applyFill="1" applyBorder="1" applyAlignment="1">
      <alignment horizontal="right" vertical="top"/>
    </xf>
    <xf numFmtId="0" fontId="4" fillId="2" borderId="11" xfId="1" applyFont="1" applyFill="1" applyBorder="1" applyAlignment="1">
      <alignment horizontal="left" vertical="center" wrapText="1"/>
    </xf>
    <xf numFmtId="0" fontId="4" fillId="2" borderId="12" xfId="1" applyFont="1" applyFill="1" applyBorder="1" applyAlignment="1">
      <alignment horizontal="left" vertical="center" wrapText="1"/>
    </xf>
    <xf numFmtId="2" fontId="3" fillId="2" borderId="26" xfId="1" applyNumberFormat="1" applyFont="1" applyFill="1" applyBorder="1" applyAlignment="1">
      <alignment horizontal="center" vertical="center" wrapText="1"/>
    </xf>
    <xf numFmtId="2" fontId="3" fillId="2" borderId="22" xfId="1" applyNumberFormat="1" applyFont="1" applyFill="1" applyBorder="1" applyAlignment="1">
      <alignment horizontal="center" vertical="center" wrapText="1"/>
    </xf>
    <xf numFmtId="2" fontId="3" fillId="2" borderId="27" xfId="1" applyNumberFormat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left" vertical="center" wrapText="1"/>
    </xf>
    <xf numFmtId="0" fontId="8" fillId="2" borderId="10" xfId="1" applyFont="1" applyFill="1" applyBorder="1" applyAlignment="1">
      <alignment horizontal="left" vertical="center" wrapText="1"/>
    </xf>
    <xf numFmtId="0" fontId="8" fillId="2" borderId="8" xfId="1" applyFont="1" applyFill="1" applyBorder="1" applyAlignment="1">
      <alignment horizontal="left" vertical="center" wrapText="1"/>
    </xf>
    <xf numFmtId="0" fontId="6" fillId="2" borderId="22" xfId="1" applyFont="1" applyFill="1" applyBorder="1" applyAlignment="1">
      <alignment horizontal="center" vertical="top" wrapText="1"/>
    </xf>
  </cellXfs>
  <cellStyles count="3">
    <cellStyle name="Prozent 2" xfId="2" xr:uid="{6AC6838A-77E4-469F-9868-1FB840C97A36}"/>
    <cellStyle name="Standard" xfId="0" builtinId="0"/>
    <cellStyle name="Standard 2" xfId="1" xr:uid="{5A436902-5598-417E-ACB0-C0BB6277D389}"/>
  </cellStyles>
  <dxfs count="2">
    <dxf>
      <font>
        <strike val="0"/>
        <u val="none"/>
        <color theme="0" tint="-0.499984740745262"/>
      </font>
      <numFmt numFmtId="13" formatCode="0%"/>
    </dxf>
    <dxf>
      <font>
        <u val="doubl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175846</xdr:colOff>
      <xdr:row>0</xdr:row>
      <xdr:rowOff>62384</xdr:rowOff>
    </xdr:from>
    <xdr:to>
      <xdr:col>13</xdr:col>
      <xdr:colOff>1840523</xdr:colOff>
      <xdr:row>2</xdr:row>
      <xdr:rowOff>165131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5F71F2E-D65D-1BBF-0459-A5017F0A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831" y="1316753"/>
          <a:ext cx="1664677" cy="48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6FD3-DC19-4560-B8B5-0B4D3352DC5B}">
  <sheetPr>
    <tabColor theme="3" tint="0.79998168889431442"/>
  </sheetPr>
  <dimension ref="A1:AD33"/>
  <sheetViews>
    <sheetView tabSelected="1" view="pageBreakPreview" zoomScale="85" zoomScaleNormal="100" zoomScaleSheetLayoutView="85" workbookViewId="0">
      <selection activeCell="N21" sqref="N21"/>
    </sheetView>
  </sheetViews>
  <sheetFormatPr baseColWidth="10" defaultColWidth="11.44140625" defaultRowHeight="13.2" x14ac:dyDescent="0.25"/>
  <cols>
    <col min="1" max="1" width="2.44140625" style="6" customWidth="1"/>
    <col min="2" max="5" width="11.44140625" style="6"/>
    <col min="6" max="6" width="3.5546875" style="6" customWidth="1"/>
    <col min="7" max="7" width="6" style="6" customWidth="1"/>
    <col min="8" max="13" width="1.88671875" style="6" customWidth="1"/>
    <col min="14" max="14" width="30.109375" style="38" customWidth="1"/>
    <col min="15" max="15" width="12.77734375" style="6" customWidth="1"/>
    <col min="16" max="16" width="4.5546875" style="6" hidden="1" customWidth="1"/>
    <col min="17" max="22" width="3.5546875" style="6" hidden="1" customWidth="1"/>
    <col min="23" max="23" width="10.33203125" style="6" hidden="1" customWidth="1"/>
    <col min="24" max="24" width="11.44140625" style="6" hidden="1" customWidth="1"/>
    <col min="25" max="16384" width="11.44140625" style="6"/>
  </cols>
  <sheetData>
    <row r="1" spans="1:30" s="3" customFormat="1" ht="14.4" thickBot="1" x14ac:dyDescent="0.3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Y1" s="6"/>
      <c r="Z1" s="6"/>
      <c r="AA1" s="6"/>
      <c r="AB1" s="6"/>
      <c r="AC1" s="6"/>
      <c r="AD1" s="6"/>
    </row>
    <row r="2" spans="1:30" s="3" customFormat="1" ht="15.75" customHeight="1" x14ac:dyDescent="0.25">
      <c r="A2" s="1"/>
      <c r="B2" s="7" t="s">
        <v>0</v>
      </c>
      <c r="C2" s="61"/>
      <c r="D2" s="61"/>
      <c r="E2" s="61"/>
      <c r="F2" s="61"/>
      <c r="G2" s="56" t="s">
        <v>15</v>
      </c>
      <c r="H2" s="56"/>
      <c r="I2" s="56"/>
      <c r="J2" s="56"/>
      <c r="K2" s="56"/>
      <c r="L2" s="56"/>
      <c r="M2" s="57"/>
      <c r="N2" s="5"/>
      <c r="Y2" s="6"/>
      <c r="Z2" s="6"/>
      <c r="AA2" s="6"/>
      <c r="AB2" s="6"/>
      <c r="AC2" s="6"/>
      <c r="AD2" s="6"/>
    </row>
    <row r="3" spans="1:30" s="3" customFormat="1" ht="15.75" customHeight="1" thickBot="1" x14ac:dyDescent="0.3">
      <c r="A3" s="1"/>
      <c r="B3" s="8" t="s">
        <v>1</v>
      </c>
      <c r="C3" s="60"/>
      <c r="D3" s="60"/>
      <c r="E3" s="60"/>
      <c r="F3" s="60"/>
      <c r="G3" s="58">
        <f>G8*H15+G25*H30+G17*H23</f>
        <v>4.8000000000000007</v>
      </c>
      <c r="H3" s="58"/>
      <c r="I3" s="58"/>
      <c r="J3" s="58"/>
      <c r="K3" s="58"/>
      <c r="L3" s="58"/>
      <c r="M3" s="59"/>
      <c r="N3" s="5"/>
      <c r="Y3" s="6"/>
      <c r="Z3" s="6"/>
      <c r="AA3" s="6"/>
      <c r="AB3" s="6"/>
      <c r="AC3" s="6"/>
      <c r="AD3" s="6"/>
    </row>
    <row r="4" spans="1:30" s="3" customFormat="1" ht="13.8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/>
      <c r="Y4" s="6"/>
      <c r="Z4" s="6"/>
      <c r="AA4" s="6"/>
      <c r="AB4" s="6"/>
      <c r="AC4" s="6"/>
      <c r="AD4" s="6"/>
    </row>
    <row r="5" spans="1:30" s="3" customFormat="1" ht="17.25" customHeight="1" thickBot="1" x14ac:dyDescent="0.3">
      <c r="A5" s="1"/>
      <c r="B5" s="39"/>
      <c r="C5" s="1"/>
      <c r="D5" s="86"/>
      <c r="E5" s="87"/>
      <c r="F5" s="87"/>
      <c r="G5" s="87"/>
      <c r="H5" s="87"/>
      <c r="I5" s="96" t="s">
        <v>2</v>
      </c>
      <c r="J5" s="96"/>
      <c r="K5" s="96"/>
      <c r="L5" s="96"/>
      <c r="M5" s="96"/>
      <c r="N5" s="96"/>
      <c r="Y5" s="6"/>
      <c r="Z5" s="6"/>
      <c r="AA5" s="6"/>
      <c r="AB5" s="6"/>
      <c r="AC5" s="6"/>
      <c r="AD5" s="6"/>
    </row>
    <row r="6" spans="1:30" s="3" customFormat="1" ht="14.1" customHeight="1" thickBot="1" x14ac:dyDescent="0.3">
      <c r="A6" s="1"/>
      <c r="B6" s="83" t="s">
        <v>3</v>
      </c>
      <c r="C6" s="84"/>
      <c r="D6" s="84"/>
      <c r="E6" s="84"/>
      <c r="F6" s="85"/>
      <c r="G6" s="9"/>
      <c r="H6" s="47" t="s">
        <v>4</v>
      </c>
      <c r="I6" s="48" t="s">
        <v>5</v>
      </c>
      <c r="J6" s="48" t="s">
        <v>6</v>
      </c>
      <c r="K6" s="48" t="s">
        <v>7</v>
      </c>
      <c r="L6" s="48" t="s">
        <v>13</v>
      </c>
      <c r="M6" s="48" t="s">
        <v>14</v>
      </c>
      <c r="N6" s="10" t="s">
        <v>8</v>
      </c>
      <c r="O6" s="11"/>
      <c r="P6" s="11"/>
      <c r="Q6" s="11">
        <v>6</v>
      </c>
      <c r="R6" s="11">
        <v>5</v>
      </c>
      <c r="S6" s="11">
        <v>4</v>
      </c>
      <c r="T6" s="11">
        <v>3</v>
      </c>
      <c r="U6" s="11">
        <v>2</v>
      </c>
      <c r="V6" s="11">
        <v>1</v>
      </c>
      <c r="Y6" s="6"/>
      <c r="Z6" s="6"/>
      <c r="AA6" s="6"/>
      <c r="AB6" s="6"/>
      <c r="AC6" s="6"/>
      <c r="AD6" s="6"/>
    </row>
    <row r="7" spans="1:30" s="3" customFormat="1" ht="6.75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Y7" s="6"/>
      <c r="Z7" s="6"/>
      <c r="AA7" s="6"/>
      <c r="AB7" s="6"/>
      <c r="AC7" s="6"/>
      <c r="AD7" s="6"/>
    </row>
    <row r="8" spans="1:30" s="3" customFormat="1" ht="28.8" customHeight="1" thickBot="1" x14ac:dyDescent="0.3">
      <c r="A8" s="1"/>
      <c r="B8" s="88" t="s">
        <v>16</v>
      </c>
      <c r="C8" s="89"/>
      <c r="D8" s="89"/>
      <c r="E8" s="89"/>
      <c r="F8" s="89"/>
      <c r="G8" s="13">
        <v>0.4</v>
      </c>
      <c r="H8" s="43"/>
      <c r="I8" s="43"/>
      <c r="J8" s="43"/>
      <c r="K8" s="43"/>
      <c r="L8" s="43"/>
      <c r="M8" s="43"/>
      <c r="N8" s="14"/>
      <c r="O8" s="15"/>
      <c r="P8" s="15"/>
      <c r="Q8" s="15"/>
      <c r="R8" s="15"/>
      <c r="S8" s="15"/>
      <c r="T8" s="15"/>
      <c r="U8" s="15"/>
      <c r="V8" s="15"/>
      <c r="Y8" s="6"/>
      <c r="Z8" s="6"/>
      <c r="AA8" s="6"/>
      <c r="AB8" s="6"/>
      <c r="AC8" s="6"/>
      <c r="AD8" s="6"/>
    </row>
    <row r="9" spans="1:30" s="22" customFormat="1" ht="27.75" customHeight="1" thickBot="1" x14ac:dyDescent="0.3">
      <c r="A9" s="16"/>
      <c r="B9" s="93" t="s">
        <v>17</v>
      </c>
      <c r="C9" s="94"/>
      <c r="D9" s="94"/>
      <c r="E9" s="94"/>
      <c r="F9" s="95"/>
      <c r="G9" s="40">
        <v>0.2</v>
      </c>
      <c r="H9" s="18"/>
      <c r="I9" s="19" t="s">
        <v>23</v>
      </c>
      <c r="J9" s="19"/>
      <c r="K9" s="19"/>
      <c r="L9" s="19"/>
      <c r="M9" s="44"/>
      <c r="N9" s="41"/>
      <c r="O9" s="11"/>
      <c r="P9" s="11"/>
      <c r="Q9" s="11">
        <f t="shared" ref="Q9:Q14" si="0">IF(H9="x",$Q$6/1,0)</f>
        <v>0</v>
      </c>
      <c r="R9" s="11">
        <f t="shared" ref="R9:R14" si="1">IF(I9="x",$R$6,0)</f>
        <v>5</v>
      </c>
      <c r="S9" s="11">
        <f t="shared" ref="S9:S14" si="2">IF(J9="x",$S$6,0)</f>
        <v>0</v>
      </c>
      <c r="T9" s="11">
        <f t="shared" ref="T9:T14" si="3">IF(K9="x",$T$6,0)</f>
        <v>0</v>
      </c>
      <c r="U9" s="11">
        <f t="shared" ref="U9:U14" si="4">IF(L9="x",$U$6,0)</f>
        <v>0</v>
      </c>
      <c r="V9" s="11">
        <f t="shared" ref="V9:V14" si="5">IF(M9="x",$V$6,0)</f>
        <v>0</v>
      </c>
      <c r="W9" s="20">
        <f t="shared" ref="W9:W14" si="6">G9*SUM(Q9:V9)</f>
        <v>1</v>
      </c>
      <c r="X9" s="21"/>
    </row>
    <row r="10" spans="1:30" s="22" customFormat="1" ht="27.75" customHeight="1" thickBot="1" x14ac:dyDescent="0.3">
      <c r="A10" s="16"/>
      <c r="B10" s="93" t="s">
        <v>18</v>
      </c>
      <c r="C10" s="94"/>
      <c r="D10" s="94"/>
      <c r="E10" s="94"/>
      <c r="F10" s="95"/>
      <c r="G10" s="40">
        <v>0.15</v>
      </c>
      <c r="H10" s="23"/>
      <c r="I10" s="24" t="s">
        <v>23</v>
      </c>
      <c r="J10" s="24"/>
      <c r="K10" s="24"/>
      <c r="L10" s="24"/>
      <c r="M10" s="45"/>
      <c r="N10" s="42"/>
      <c r="O10" s="11"/>
      <c r="P10" s="11"/>
      <c r="Q10" s="11">
        <f t="shared" si="0"/>
        <v>0</v>
      </c>
      <c r="R10" s="11">
        <f t="shared" si="1"/>
        <v>5</v>
      </c>
      <c r="S10" s="11">
        <f t="shared" si="2"/>
        <v>0</v>
      </c>
      <c r="T10" s="11">
        <f t="shared" si="3"/>
        <v>0</v>
      </c>
      <c r="U10" s="11">
        <f t="shared" si="4"/>
        <v>0</v>
      </c>
      <c r="V10" s="11">
        <f t="shared" si="5"/>
        <v>0</v>
      </c>
      <c r="W10" s="20">
        <f t="shared" si="6"/>
        <v>0.75</v>
      </c>
      <c r="X10" s="21"/>
    </row>
    <row r="11" spans="1:30" s="22" customFormat="1" ht="27.75" customHeight="1" thickBot="1" x14ac:dyDescent="0.3">
      <c r="A11" s="16"/>
      <c r="B11" s="93" t="s">
        <v>19</v>
      </c>
      <c r="C11" s="94"/>
      <c r="D11" s="94"/>
      <c r="E11" s="94"/>
      <c r="F11" s="95"/>
      <c r="G11" s="40">
        <v>0.15</v>
      </c>
      <c r="H11" s="23"/>
      <c r="I11" s="24" t="s">
        <v>23</v>
      </c>
      <c r="J11" s="24"/>
      <c r="K11" s="24"/>
      <c r="L11" s="24"/>
      <c r="M11" s="45"/>
      <c r="N11" s="42"/>
      <c r="O11" s="11"/>
      <c r="P11" s="11"/>
      <c r="Q11" s="11">
        <f t="shared" si="0"/>
        <v>0</v>
      </c>
      <c r="R11" s="11">
        <f t="shared" si="1"/>
        <v>5</v>
      </c>
      <c r="S11" s="11">
        <f t="shared" si="2"/>
        <v>0</v>
      </c>
      <c r="T11" s="11">
        <f t="shared" si="3"/>
        <v>0</v>
      </c>
      <c r="U11" s="11">
        <f t="shared" si="4"/>
        <v>0</v>
      </c>
      <c r="V11" s="11">
        <f t="shared" si="5"/>
        <v>0</v>
      </c>
      <c r="W11" s="20">
        <f t="shared" si="6"/>
        <v>0.75</v>
      </c>
      <c r="X11" s="21"/>
    </row>
    <row r="12" spans="1:30" s="22" customFormat="1" ht="27.75" customHeight="1" thickBot="1" x14ac:dyDescent="0.3">
      <c r="A12" s="16"/>
      <c r="B12" s="93" t="s">
        <v>20</v>
      </c>
      <c r="C12" s="94"/>
      <c r="D12" s="94"/>
      <c r="E12" s="94"/>
      <c r="F12" s="95"/>
      <c r="G12" s="40">
        <v>0.2</v>
      </c>
      <c r="H12" s="23"/>
      <c r="I12" s="24" t="s">
        <v>23</v>
      </c>
      <c r="J12" s="24"/>
      <c r="K12" s="24"/>
      <c r="L12" s="24"/>
      <c r="M12" s="45"/>
      <c r="N12" s="42"/>
      <c r="O12" s="11"/>
      <c r="P12" s="11"/>
      <c r="Q12" s="11">
        <f t="shared" si="0"/>
        <v>0</v>
      </c>
      <c r="R12" s="11">
        <f t="shared" si="1"/>
        <v>5</v>
      </c>
      <c r="S12" s="11">
        <f t="shared" si="2"/>
        <v>0</v>
      </c>
      <c r="T12" s="11">
        <f t="shared" si="3"/>
        <v>0</v>
      </c>
      <c r="U12" s="11">
        <f t="shared" si="4"/>
        <v>0</v>
      </c>
      <c r="V12" s="11">
        <f t="shared" si="5"/>
        <v>0</v>
      </c>
      <c r="W12" s="20">
        <f t="shared" si="6"/>
        <v>1</v>
      </c>
      <c r="X12" s="21"/>
    </row>
    <row r="13" spans="1:30" s="22" customFormat="1" ht="27.75" customHeight="1" thickBot="1" x14ac:dyDescent="0.3">
      <c r="A13" s="16"/>
      <c r="B13" s="93" t="s">
        <v>22</v>
      </c>
      <c r="C13" s="94"/>
      <c r="D13" s="94"/>
      <c r="E13" s="94"/>
      <c r="F13" s="95"/>
      <c r="G13" s="40">
        <v>0.1</v>
      </c>
      <c r="H13" s="23"/>
      <c r="I13" s="24" t="s">
        <v>23</v>
      </c>
      <c r="J13" s="24"/>
      <c r="K13" s="24"/>
      <c r="L13" s="24"/>
      <c r="M13" s="45"/>
      <c r="N13" s="42"/>
      <c r="O13" s="11"/>
      <c r="P13" s="11"/>
      <c r="Q13" s="11">
        <f t="shared" si="0"/>
        <v>0</v>
      </c>
      <c r="R13" s="11">
        <f t="shared" si="1"/>
        <v>5</v>
      </c>
      <c r="S13" s="11">
        <f t="shared" si="2"/>
        <v>0</v>
      </c>
      <c r="T13" s="11">
        <f t="shared" si="3"/>
        <v>0</v>
      </c>
      <c r="U13" s="11">
        <f t="shared" si="4"/>
        <v>0</v>
      </c>
      <c r="V13" s="11">
        <f t="shared" si="5"/>
        <v>0</v>
      </c>
      <c r="W13" s="20">
        <f t="shared" si="6"/>
        <v>0.5</v>
      </c>
      <c r="X13" s="21"/>
    </row>
    <row r="14" spans="1:30" s="22" customFormat="1" ht="36.75" customHeight="1" thickBot="1" x14ac:dyDescent="0.3">
      <c r="A14" s="16"/>
      <c r="B14" s="93" t="s">
        <v>21</v>
      </c>
      <c r="C14" s="94"/>
      <c r="D14" s="94"/>
      <c r="E14" s="94"/>
      <c r="F14" s="95"/>
      <c r="G14" s="40">
        <v>0.2</v>
      </c>
      <c r="H14" s="23"/>
      <c r="I14" s="24" t="s">
        <v>23</v>
      </c>
      <c r="J14" s="24"/>
      <c r="K14" s="24"/>
      <c r="L14" s="24"/>
      <c r="M14" s="45"/>
      <c r="N14" s="42"/>
      <c r="O14" s="11"/>
      <c r="P14" s="11"/>
      <c r="Q14" s="11">
        <f t="shared" si="0"/>
        <v>0</v>
      </c>
      <c r="R14" s="11">
        <f t="shared" si="1"/>
        <v>5</v>
      </c>
      <c r="S14" s="11">
        <f t="shared" si="2"/>
        <v>0</v>
      </c>
      <c r="T14" s="11">
        <f t="shared" si="3"/>
        <v>0</v>
      </c>
      <c r="U14" s="11">
        <f t="shared" si="4"/>
        <v>0</v>
      </c>
      <c r="V14" s="11">
        <f t="shared" si="5"/>
        <v>0</v>
      </c>
      <c r="W14" s="20">
        <f t="shared" si="6"/>
        <v>1</v>
      </c>
      <c r="X14" s="21"/>
    </row>
    <row r="15" spans="1:30" s="22" customFormat="1" ht="30" customHeight="1" thickBot="1" x14ac:dyDescent="0.3">
      <c r="A15" s="16"/>
      <c r="B15" s="27"/>
      <c r="C15" s="27"/>
      <c r="D15" s="55">
        <f>SUM(G9:G14)</f>
        <v>1</v>
      </c>
      <c r="E15" s="72" t="s">
        <v>9</v>
      </c>
      <c r="F15" s="73"/>
      <c r="G15" s="74"/>
      <c r="H15" s="90">
        <f>W15</f>
        <v>5</v>
      </c>
      <c r="I15" s="91"/>
      <c r="J15" s="91"/>
      <c r="K15" s="91"/>
      <c r="L15" s="91"/>
      <c r="M15" s="92"/>
      <c r="N15" s="27"/>
      <c r="O15" s="11"/>
      <c r="P15" s="20"/>
      <c r="Q15" s="11"/>
      <c r="R15" s="11"/>
      <c r="S15" s="11"/>
      <c r="T15" s="11"/>
      <c r="U15" s="11"/>
      <c r="V15" s="28" t="s">
        <v>10</v>
      </c>
      <c r="W15" s="20">
        <f>SUM(W9:W14)</f>
        <v>5</v>
      </c>
      <c r="X15" s="21"/>
    </row>
    <row r="16" spans="1:30" s="22" customFormat="1" ht="10.8" customHeight="1" thickBot="1" x14ac:dyDescent="0.3">
      <c r="A16" s="16"/>
      <c r="B16" s="27"/>
      <c r="C16" s="27"/>
      <c r="D16" s="46"/>
      <c r="E16" s="49"/>
      <c r="F16" s="49"/>
      <c r="G16" s="49"/>
      <c r="H16" s="50"/>
      <c r="I16" s="50"/>
      <c r="J16" s="50"/>
      <c r="K16" s="50"/>
      <c r="L16" s="50"/>
      <c r="M16" s="50"/>
      <c r="N16" s="27"/>
      <c r="O16" s="11"/>
      <c r="P16" s="20"/>
      <c r="Q16" s="11"/>
      <c r="R16" s="11"/>
      <c r="S16" s="11"/>
      <c r="T16" s="11"/>
      <c r="U16" s="11"/>
      <c r="V16" s="28"/>
      <c r="W16" s="20"/>
      <c r="X16" s="21"/>
    </row>
    <row r="17" spans="1:24" s="3" customFormat="1" ht="14.4" thickBot="1" x14ac:dyDescent="0.3">
      <c r="A17" s="1"/>
      <c r="B17" s="78" t="s">
        <v>33</v>
      </c>
      <c r="C17" s="79"/>
      <c r="D17" s="79"/>
      <c r="E17" s="79"/>
      <c r="F17" s="79"/>
      <c r="G17" s="31">
        <v>0.4</v>
      </c>
      <c r="H17" s="12"/>
      <c r="I17" s="12"/>
      <c r="J17" s="12"/>
      <c r="K17" s="12"/>
      <c r="L17" s="12"/>
      <c r="M17" s="12"/>
      <c r="N17" s="32"/>
      <c r="O17" s="33"/>
      <c r="P17" s="33"/>
      <c r="Q17" s="11"/>
      <c r="R17" s="11"/>
      <c r="S17" s="11"/>
      <c r="T17" s="11"/>
      <c r="U17" s="11"/>
      <c r="V17" s="11"/>
    </row>
    <row r="18" spans="1:24" s="3" customFormat="1" ht="30" customHeight="1" x14ac:dyDescent="0.25">
      <c r="A18" s="1"/>
      <c r="B18" s="63" t="s">
        <v>24</v>
      </c>
      <c r="C18" s="64"/>
      <c r="D18" s="64"/>
      <c r="E18" s="64"/>
      <c r="F18" s="65"/>
      <c r="G18" s="17">
        <v>0.2</v>
      </c>
      <c r="H18" s="18"/>
      <c r="I18" s="19"/>
      <c r="J18" s="19" t="s">
        <v>23</v>
      </c>
      <c r="K18" s="19"/>
      <c r="L18" s="19"/>
      <c r="M18" s="19"/>
      <c r="N18" s="34"/>
      <c r="O18" s="11"/>
      <c r="P18" s="11"/>
      <c r="Q18" s="11">
        <f t="shared" ref="Q18:Q22" si="7">IF(H18="x",$Q$6/1,0)</f>
        <v>0</v>
      </c>
      <c r="R18" s="11">
        <f t="shared" ref="R18:R22" si="8">IF(I18="x",$R$6,0)</f>
        <v>0</v>
      </c>
      <c r="S18" s="11">
        <f t="shared" ref="S18:S22" si="9">IF(J18="x",$S$6,0)</f>
        <v>4</v>
      </c>
      <c r="T18" s="11">
        <f t="shared" ref="T18:T22" si="10">IF(K18="x",$T$6,0)</f>
        <v>0</v>
      </c>
      <c r="U18" s="11">
        <f t="shared" ref="U18:U22" si="11">IF(L18="x",$U$6,0)</f>
        <v>0</v>
      </c>
      <c r="V18" s="11">
        <f t="shared" ref="V18:V22" si="12">IF(M18="x",$V$6,0)</f>
        <v>0</v>
      </c>
      <c r="W18" s="20">
        <f t="shared" ref="W18:W22" si="13">G18*SUM(Q18:V18)</f>
        <v>0.8</v>
      </c>
    </row>
    <row r="19" spans="1:24" s="3" customFormat="1" ht="30" customHeight="1" x14ac:dyDescent="0.25">
      <c r="A19" s="1"/>
      <c r="B19" s="66" t="s">
        <v>25</v>
      </c>
      <c r="C19" s="67"/>
      <c r="D19" s="67"/>
      <c r="E19" s="67"/>
      <c r="F19" s="68"/>
      <c r="G19" s="51">
        <v>0.2</v>
      </c>
      <c r="H19" s="23"/>
      <c r="I19" s="24"/>
      <c r="J19" s="24" t="s">
        <v>23</v>
      </c>
      <c r="K19" s="24"/>
      <c r="L19" s="24"/>
      <c r="M19" s="24"/>
      <c r="N19" s="52"/>
      <c r="O19" s="11"/>
      <c r="P19" s="11"/>
      <c r="Q19" s="11">
        <f t="shared" si="7"/>
        <v>0</v>
      </c>
      <c r="R19" s="11">
        <f t="shared" si="8"/>
        <v>0</v>
      </c>
      <c r="S19" s="11">
        <f t="shared" si="9"/>
        <v>4</v>
      </c>
      <c r="T19" s="11">
        <f t="shared" si="10"/>
        <v>0</v>
      </c>
      <c r="U19" s="11">
        <f t="shared" si="11"/>
        <v>0</v>
      </c>
      <c r="V19" s="11">
        <f t="shared" si="12"/>
        <v>0</v>
      </c>
      <c r="W19" s="20">
        <f t="shared" si="13"/>
        <v>0.8</v>
      </c>
    </row>
    <row r="20" spans="1:24" s="3" customFormat="1" ht="30" customHeight="1" x14ac:dyDescent="0.25">
      <c r="A20" s="1"/>
      <c r="B20" s="66" t="s">
        <v>26</v>
      </c>
      <c r="C20" s="67"/>
      <c r="D20" s="67"/>
      <c r="E20" s="67"/>
      <c r="F20" s="68"/>
      <c r="G20" s="51">
        <v>0.2</v>
      </c>
      <c r="H20" s="23"/>
      <c r="I20" s="24"/>
      <c r="J20" s="24" t="s">
        <v>23</v>
      </c>
      <c r="K20" s="24"/>
      <c r="L20" s="24"/>
      <c r="M20" s="24"/>
      <c r="N20" s="52"/>
      <c r="O20" s="11"/>
      <c r="P20" s="11"/>
      <c r="Q20" s="11">
        <f t="shared" si="7"/>
        <v>0</v>
      </c>
      <c r="R20" s="11">
        <f t="shared" si="8"/>
        <v>0</v>
      </c>
      <c r="S20" s="11">
        <f t="shared" si="9"/>
        <v>4</v>
      </c>
      <c r="T20" s="11">
        <f t="shared" si="10"/>
        <v>0</v>
      </c>
      <c r="U20" s="11">
        <f t="shared" si="11"/>
        <v>0</v>
      </c>
      <c r="V20" s="11">
        <f t="shared" si="12"/>
        <v>0</v>
      </c>
      <c r="W20" s="20">
        <f t="shared" si="13"/>
        <v>0.8</v>
      </c>
    </row>
    <row r="21" spans="1:24" s="3" customFormat="1" ht="30" customHeight="1" x14ac:dyDescent="0.25">
      <c r="A21" s="1"/>
      <c r="B21" s="80" t="s">
        <v>27</v>
      </c>
      <c r="C21" s="81"/>
      <c r="D21" s="81"/>
      <c r="E21" s="81"/>
      <c r="F21" s="82"/>
      <c r="G21" s="51">
        <v>0.2</v>
      </c>
      <c r="H21" s="23"/>
      <c r="I21" s="24"/>
      <c r="J21" s="24" t="s">
        <v>23</v>
      </c>
      <c r="K21" s="24"/>
      <c r="L21" s="24"/>
      <c r="M21" s="24"/>
      <c r="N21" s="52"/>
      <c r="O21" s="11"/>
      <c r="P21" s="11"/>
      <c r="Q21" s="11">
        <f t="shared" ref="Q21" si="14">IF(H21="x",$Q$6/1,0)</f>
        <v>0</v>
      </c>
      <c r="R21" s="11">
        <f t="shared" ref="R21" si="15">IF(I21="x",$R$6,0)</f>
        <v>0</v>
      </c>
      <c r="S21" s="11">
        <f t="shared" ref="S21" si="16">IF(J21="x",$S$6,0)</f>
        <v>4</v>
      </c>
      <c r="T21" s="11">
        <f t="shared" ref="T21" si="17">IF(K21="x",$T$6,0)</f>
        <v>0</v>
      </c>
      <c r="U21" s="11">
        <f t="shared" ref="U21" si="18">IF(L21="x",$U$6,0)</f>
        <v>0</v>
      </c>
      <c r="V21" s="11">
        <f t="shared" ref="V21" si="19">IF(M21="x",$V$6,0)</f>
        <v>0</v>
      </c>
      <c r="W21" s="20">
        <f t="shared" ref="W21" si="20">G21*SUM(Q21:V21)</f>
        <v>0.8</v>
      </c>
    </row>
    <row r="22" spans="1:24" s="3" customFormat="1" ht="30" customHeight="1" thickBot="1" x14ac:dyDescent="0.3">
      <c r="A22" s="1"/>
      <c r="B22" s="69" t="s">
        <v>28</v>
      </c>
      <c r="C22" s="70"/>
      <c r="D22" s="70"/>
      <c r="E22" s="70"/>
      <c r="F22" s="71"/>
      <c r="G22" s="53">
        <v>0.2</v>
      </c>
      <c r="H22" s="25"/>
      <c r="I22" s="26"/>
      <c r="J22" s="26" t="s">
        <v>23</v>
      </c>
      <c r="K22" s="26"/>
      <c r="L22" s="26"/>
      <c r="M22" s="26"/>
      <c r="N22" s="54"/>
      <c r="O22" s="11"/>
      <c r="P22" s="11"/>
      <c r="Q22" s="11">
        <f t="shared" si="7"/>
        <v>0</v>
      </c>
      <c r="R22" s="11">
        <f t="shared" si="8"/>
        <v>0</v>
      </c>
      <c r="S22" s="11">
        <f t="shared" si="9"/>
        <v>4</v>
      </c>
      <c r="T22" s="11">
        <f t="shared" si="10"/>
        <v>0</v>
      </c>
      <c r="U22" s="11">
        <f t="shared" si="11"/>
        <v>0</v>
      </c>
      <c r="V22" s="11">
        <f t="shared" si="12"/>
        <v>0</v>
      </c>
      <c r="W22" s="20">
        <f t="shared" si="13"/>
        <v>0.8</v>
      </c>
    </row>
    <row r="23" spans="1:24" s="22" customFormat="1" ht="30" customHeight="1" thickBot="1" x14ac:dyDescent="0.3">
      <c r="A23" s="16"/>
      <c r="B23" s="27"/>
      <c r="C23" s="27"/>
      <c r="D23" s="55">
        <f>SUM(G18:G22)</f>
        <v>1</v>
      </c>
      <c r="E23" s="72" t="s">
        <v>9</v>
      </c>
      <c r="F23" s="73"/>
      <c r="G23" s="74"/>
      <c r="H23" s="75">
        <f>W23</f>
        <v>4</v>
      </c>
      <c r="I23" s="76"/>
      <c r="J23" s="76"/>
      <c r="K23" s="76"/>
      <c r="L23" s="76"/>
      <c r="M23" s="77"/>
      <c r="N23" s="27"/>
      <c r="O23" s="11"/>
      <c r="P23" s="20"/>
      <c r="Q23" s="11"/>
      <c r="R23" s="11"/>
      <c r="S23" s="11"/>
      <c r="T23" s="11"/>
      <c r="U23" s="11"/>
      <c r="V23" s="28" t="s">
        <v>10</v>
      </c>
      <c r="W23" s="20">
        <f>SUM(W18:W22)</f>
        <v>4</v>
      </c>
      <c r="X23" s="21"/>
    </row>
    <row r="24" spans="1:24" s="3" customFormat="1" ht="14.4" thickBot="1" x14ac:dyDescent="0.3">
      <c r="A24" s="1"/>
      <c r="B24" s="1"/>
      <c r="C24" s="1"/>
      <c r="D24" s="1"/>
      <c r="E24" s="1"/>
      <c r="F24" s="1"/>
      <c r="G24" s="29"/>
      <c r="H24" s="1"/>
      <c r="I24" s="1"/>
      <c r="J24" s="1"/>
      <c r="K24" s="1"/>
      <c r="L24" s="1"/>
      <c r="M24" s="1"/>
      <c r="N24" s="2"/>
      <c r="O24" s="30"/>
      <c r="P24" s="30"/>
      <c r="Q24" s="11"/>
      <c r="R24" s="11"/>
      <c r="S24" s="11"/>
      <c r="T24" s="11"/>
      <c r="U24" s="11"/>
      <c r="V24" s="11"/>
    </row>
    <row r="25" spans="1:24" s="3" customFormat="1" ht="14.4" thickBot="1" x14ac:dyDescent="0.3">
      <c r="A25" s="1"/>
      <c r="B25" s="78" t="s">
        <v>31</v>
      </c>
      <c r="C25" s="79"/>
      <c r="D25" s="79"/>
      <c r="E25" s="79"/>
      <c r="F25" s="79"/>
      <c r="G25" s="31">
        <v>0.2</v>
      </c>
      <c r="H25" s="12"/>
      <c r="I25" s="12"/>
      <c r="J25" s="12"/>
      <c r="K25" s="12"/>
      <c r="L25" s="12"/>
      <c r="M25" s="12"/>
      <c r="N25" s="32"/>
      <c r="O25" s="33"/>
      <c r="P25" s="33"/>
      <c r="Q25" s="11"/>
      <c r="R25" s="11"/>
      <c r="S25" s="11"/>
      <c r="T25" s="11"/>
      <c r="U25" s="11"/>
      <c r="V25" s="11"/>
    </row>
    <row r="26" spans="1:24" s="3" customFormat="1" ht="30" customHeight="1" x14ac:dyDescent="0.25">
      <c r="A26" s="1"/>
      <c r="B26" s="63" t="s">
        <v>11</v>
      </c>
      <c r="C26" s="64"/>
      <c r="D26" s="64"/>
      <c r="E26" s="64"/>
      <c r="F26" s="65"/>
      <c r="G26" s="17">
        <v>0.25</v>
      </c>
      <c r="H26" s="18" t="s">
        <v>23</v>
      </c>
      <c r="I26" s="19"/>
      <c r="J26" s="19"/>
      <c r="K26" s="19"/>
      <c r="L26" s="19"/>
      <c r="M26" s="19"/>
      <c r="N26" s="34"/>
      <c r="O26" s="11"/>
      <c r="P26" s="11"/>
      <c r="Q26" s="11">
        <f t="shared" ref="Q26" si="21">IF(H26="x",$Q$6/1,0)</f>
        <v>6</v>
      </c>
      <c r="R26" s="11">
        <f t="shared" ref="R26" si="22">IF(I26="x",$R$6,0)</f>
        <v>0</v>
      </c>
      <c r="S26" s="11">
        <f t="shared" ref="S26" si="23">IF(J26="x",$S$6,0)</f>
        <v>0</v>
      </c>
      <c r="T26" s="11">
        <f t="shared" ref="T26" si="24">IF(K26="x",$T$6,0)</f>
        <v>0</v>
      </c>
      <c r="U26" s="11">
        <f t="shared" ref="U26" si="25">IF(L26="x",$U$6,0)</f>
        <v>0</v>
      </c>
      <c r="V26" s="11">
        <f t="shared" ref="V26" si="26">IF(M26="x",$V$6,0)</f>
        <v>0</v>
      </c>
      <c r="W26" s="20">
        <f t="shared" ref="W26:W29" si="27">G26*SUM(Q26:V26)</f>
        <v>1.5</v>
      </c>
    </row>
    <row r="27" spans="1:24" s="3" customFormat="1" ht="30" customHeight="1" x14ac:dyDescent="0.25">
      <c r="A27" s="1"/>
      <c r="B27" s="66" t="s">
        <v>29</v>
      </c>
      <c r="C27" s="67"/>
      <c r="D27" s="67"/>
      <c r="E27" s="67"/>
      <c r="F27" s="68"/>
      <c r="G27" s="51">
        <v>0.25</v>
      </c>
      <c r="H27" s="23" t="s">
        <v>23</v>
      </c>
      <c r="I27" s="24"/>
      <c r="J27" s="24"/>
      <c r="K27" s="24"/>
      <c r="L27" s="24"/>
      <c r="M27" s="24"/>
      <c r="N27" s="52"/>
      <c r="O27" s="11"/>
      <c r="P27" s="11"/>
      <c r="Q27" s="11">
        <f t="shared" ref="Q27:Q29" si="28">IF(H27="x",$Q$6/1,0)</f>
        <v>6</v>
      </c>
      <c r="R27" s="11">
        <f t="shared" ref="R27:R29" si="29">IF(I27="x",$R$6,0)</f>
        <v>0</v>
      </c>
      <c r="S27" s="11">
        <f t="shared" ref="S27:S29" si="30">IF(J27="x",$S$6,0)</f>
        <v>0</v>
      </c>
      <c r="T27" s="11">
        <f t="shared" ref="T27:T29" si="31">IF(K27="x",$T$6,0)</f>
        <v>0</v>
      </c>
      <c r="U27" s="11">
        <f t="shared" ref="U27:U29" si="32">IF(L27="x",$U$6,0)</f>
        <v>0</v>
      </c>
      <c r="V27" s="11">
        <f t="shared" ref="V27:V29" si="33">IF(M27="x",$V$6,0)</f>
        <v>0</v>
      </c>
      <c r="W27" s="20">
        <f t="shared" si="27"/>
        <v>1.5</v>
      </c>
    </row>
    <row r="28" spans="1:24" s="3" customFormat="1" ht="30" customHeight="1" x14ac:dyDescent="0.25">
      <c r="A28" s="1"/>
      <c r="B28" s="66" t="s">
        <v>12</v>
      </c>
      <c r="C28" s="67"/>
      <c r="D28" s="67"/>
      <c r="E28" s="67"/>
      <c r="F28" s="68"/>
      <c r="G28" s="51">
        <v>0.25</v>
      </c>
      <c r="H28" s="23" t="s">
        <v>23</v>
      </c>
      <c r="I28" s="24"/>
      <c r="J28" s="24"/>
      <c r="K28" s="24"/>
      <c r="L28" s="24"/>
      <c r="M28" s="24"/>
      <c r="N28" s="52"/>
      <c r="O28" s="11"/>
      <c r="P28" s="11"/>
      <c r="Q28" s="11">
        <f t="shared" si="28"/>
        <v>6</v>
      </c>
      <c r="R28" s="11">
        <f t="shared" si="29"/>
        <v>0</v>
      </c>
      <c r="S28" s="11">
        <f t="shared" si="30"/>
        <v>0</v>
      </c>
      <c r="T28" s="11">
        <f t="shared" si="31"/>
        <v>0</v>
      </c>
      <c r="U28" s="11">
        <f t="shared" si="32"/>
        <v>0</v>
      </c>
      <c r="V28" s="11">
        <f t="shared" si="33"/>
        <v>0</v>
      </c>
      <c r="W28" s="20">
        <f t="shared" si="27"/>
        <v>1.5</v>
      </c>
    </row>
    <row r="29" spans="1:24" s="3" customFormat="1" ht="30" customHeight="1" thickBot="1" x14ac:dyDescent="0.3">
      <c r="A29" s="1"/>
      <c r="B29" s="69" t="s">
        <v>30</v>
      </c>
      <c r="C29" s="70"/>
      <c r="D29" s="70"/>
      <c r="E29" s="70"/>
      <c r="F29" s="71"/>
      <c r="G29" s="53">
        <v>0.25</v>
      </c>
      <c r="H29" s="25" t="s">
        <v>23</v>
      </c>
      <c r="I29" s="26"/>
      <c r="J29" s="26"/>
      <c r="K29" s="26"/>
      <c r="L29" s="26"/>
      <c r="M29" s="26"/>
      <c r="N29" s="54"/>
      <c r="O29" s="11"/>
      <c r="P29" s="11"/>
      <c r="Q29" s="11">
        <f t="shared" si="28"/>
        <v>6</v>
      </c>
      <c r="R29" s="11">
        <f t="shared" si="29"/>
        <v>0</v>
      </c>
      <c r="S29" s="11">
        <f t="shared" si="30"/>
        <v>0</v>
      </c>
      <c r="T29" s="11">
        <f t="shared" si="31"/>
        <v>0</v>
      </c>
      <c r="U29" s="11">
        <f t="shared" si="32"/>
        <v>0</v>
      </c>
      <c r="V29" s="11">
        <f t="shared" si="33"/>
        <v>0</v>
      </c>
      <c r="W29" s="20">
        <f t="shared" si="27"/>
        <v>1.5</v>
      </c>
    </row>
    <row r="30" spans="1:24" s="22" customFormat="1" ht="30" customHeight="1" thickBot="1" x14ac:dyDescent="0.3">
      <c r="A30" s="16"/>
      <c r="B30" s="27"/>
      <c r="C30" s="27"/>
      <c r="D30" s="55">
        <f>SUM(G26:G29)</f>
        <v>1</v>
      </c>
      <c r="E30" s="72" t="s">
        <v>9</v>
      </c>
      <c r="F30" s="73"/>
      <c r="G30" s="74"/>
      <c r="H30" s="75">
        <f>W30</f>
        <v>6</v>
      </c>
      <c r="I30" s="76"/>
      <c r="J30" s="76"/>
      <c r="K30" s="76"/>
      <c r="L30" s="76"/>
      <c r="M30" s="77"/>
      <c r="N30" s="27"/>
      <c r="O30" s="11"/>
      <c r="P30" s="20"/>
      <c r="Q30" s="11"/>
      <c r="R30" s="11"/>
      <c r="S30" s="11"/>
      <c r="T30" s="11"/>
      <c r="U30" s="11"/>
      <c r="V30" s="28" t="s">
        <v>10</v>
      </c>
      <c r="W30" s="20">
        <f>SUM(W26:W29)</f>
        <v>6</v>
      </c>
      <c r="X30" s="21"/>
    </row>
    <row r="31" spans="1:24" s="30" customFormat="1" ht="23.4" customHeight="1" x14ac:dyDescent="0.25">
      <c r="A31" s="35"/>
      <c r="B31" s="62" t="s">
        <v>32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</row>
    <row r="32" spans="1:24" s="30" customFormat="1" ht="11.4" x14ac:dyDescent="0.25">
      <c r="N32" s="36"/>
    </row>
    <row r="33" spans="14:14" s="3" customFormat="1" ht="13.8" x14ac:dyDescent="0.25">
      <c r="N33" s="37"/>
    </row>
  </sheetData>
  <mergeCells count="32">
    <mergeCell ref="I5:N5"/>
    <mergeCell ref="B25:F25"/>
    <mergeCell ref="B18:F18"/>
    <mergeCell ref="B19:F19"/>
    <mergeCell ref="B20:F20"/>
    <mergeCell ref="B22:F22"/>
    <mergeCell ref="E23:G23"/>
    <mergeCell ref="B8:F8"/>
    <mergeCell ref="H15:M15"/>
    <mergeCell ref="B9:F9"/>
    <mergeCell ref="B10:F10"/>
    <mergeCell ref="B11:F11"/>
    <mergeCell ref="B12:F12"/>
    <mergeCell ref="B13:F13"/>
    <mergeCell ref="B14:F14"/>
    <mergeCell ref="E15:G15"/>
    <mergeCell ref="G2:M2"/>
    <mergeCell ref="G3:M3"/>
    <mergeCell ref="C3:F3"/>
    <mergeCell ref="C2:F2"/>
    <mergeCell ref="B31:N31"/>
    <mergeCell ref="B26:F26"/>
    <mergeCell ref="B27:F27"/>
    <mergeCell ref="B28:F28"/>
    <mergeCell ref="B29:F29"/>
    <mergeCell ref="E30:G30"/>
    <mergeCell ref="H30:M30"/>
    <mergeCell ref="H23:M23"/>
    <mergeCell ref="B17:F17"/>
    <mergeCell ref="B21:F21"/>
    <mergeCell ref="B6:F6"/>
    <mergeCell ref="D5:H5"/>
  </mergeCells>
  <conditionalFormatting sqref="D15 D23 D30">
    <cfRule type="cellIs" dxfId="1" priority="1" operator="notEqual">
      <formula>100%</formula>
    </cfRule>
    <cfRule type="cellIs" dxfId="0" priority="2" operator="equal">
      <formula>100%</formula>
    </cfRule>
  </conditionalFormatting>
  <pageMargins left="0.25" right="0.25" top="0.75" bottom="0.75" header="0.3" footer="0.3"/>
  <pageSetup paperSize="9" scale="96" orientation="portrait" r:id="rId1"/>
  <rowBreaks count="1" manualBreakCount="1">
    <brk id="31" max="11" man="1"/>
  </rowBreaks>
  <ignoredErrors>
    <ignoredError sqref="D15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6EA8152669E14D8CDE53AABDCF5872" ma:contentTypeVersion="18" ma:contentTypeDescription="Ein neues Dokument erstellen." ma:contentTypeScope="" ma:versionID="82488bcd990ff19759f4e6da9b56ca8e">
  <xsd:schema xmlns:xsd="http://www.w3.org/2001/XMLSchema" xmlns:xs="http://www.w3.org/2001/XMLSchema" xmlns:p="http://schemas.microsoft.com/office/2006/metadata/properties" xmlns:ns2="bc383abb-7812-46f4-af61-25421bb12813" xmlns:ns3="645e6d5b-9118-458d-8f80-b269df41a5c0" xmlns:ns4="68628b2f-7e15-4bb9-b45d-9b408bd3f434" targetNamespace="http://schemas.microsoft.com/office/2006/metadata/properties" ma:root="true" ma:fieldsID="e0d19e160911884a603840188546721d" ns2:_="" ns3:_="" ns4:_="">
    <xsd:import namespace="bc383abb-7812-46f4-af61-25421bb12813"/>
    <xsd:import namespace="645e6d5b-9118-458d-8f80-b269df41a5c0"/>
    <xsd:import namespace="68628b2f-7e15-4bb9-b45d-9b408bd3f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83abb-7812-46f4-af61-25421bb128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e6d5b-9118-458d-8f80-b269df41a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f3be756-6d7e-4fab-8370-3a1f3a6cd16d}" ma:internalName="TaxCatchAll" ma:showField="CatchAllData" ma:web="645e6d5b-9118-458d-8f80-b269df41a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83abb-7812-46f4-af61-25421bb12813">
      <Terms xmlns="http://schemas.microsoft.com/office/infopath/2007/PartnerControls"/>
    </lcf76f155ced4ddcb4097134ff3c332f>
    <TaxCatchAll xmlns="68628b2f-7e15-4bb9-b45d-9b408bd3f434" xsi:nil="true"/>
  </documentManagement>
</p:properties>
</file>

<file path=customXml/itemProps1.xml><?xml version="1.0" encoding="utf-8"?>
<ds:datastoreItem xmlns:ds="http://schemas.openxmlformats.org/officeDocument/2006/customXml" ds:itemID="{EEEA3AD8-1971-479C-BD8E-FA0846BB47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AA33EF-0BB9-4F39-ADF2-58796BC51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383abb-7812-46f4-af61-25421bb12813"/>
    <ds:schemaRef ds:uri="645e6d5b-9118-458d-8f80-b269df41a5c0"/>
    <ds:schemaRef ds:uri="68628b2f-7e15-4bb9-b45d-9b408bd3f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C7D49B-7823-46FC-9538-DB885B022669}">
  <ds:schemaRefs>
    <ds:schemaRef ds:uri="http://schemas.microsoft.com/office/2006/metadata/properties"/>
    <ds:schemaRef ds:uri="http://schemas.microsoft.com/office/infopath/2007/PartnerControls"/>
    <ds:schemaRef ds:uri="bc383abb-7812-46f4-af61-25421bb12813"/>
    <ds:schemaRef ds:uri="68628b2f-7e15-4bb9-b45d-9b408bd3f4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module_grade_calculation_chart_</vt:lpstr>
      <vt:lpstr>module_grade_calculation_chart_!Druckbereich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Czerner Stefan (ZHAW ZPP)</dc:creator>
  <cp:keywords/>
  <dc:description/>
  <cp:lastModifiedBy>Czerner Stefan (czer)</cp:lastModifiedBy>
  <cp:revision/>
  <dcterms:created xsi:type="dcterms:W3CDTF">2022-01-11T08:13:50Z</dcterms:created>
  <dcterms:modified xsi:type="dcterms:W3CDTF">2025-10-24T06:18:13Z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2022-01-11T08:13:51Z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4d27fb78-10f0-4bcf-9757-0d1dd865587e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0x010100776EA8152669E14D8CDE53AABDCF5872</vt:lpwstr>
  </property>
  <property fmtid="{D5CDD505-2E9C-101B-9397-08002B2CF9AE}" pid="10" name="MediaServiceImageTags">
    <vt:lpwstr/>
  </property>
</Properties>
</file>